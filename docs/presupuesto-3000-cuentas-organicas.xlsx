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" sheetId="1" state="visible" r:id="rId1"/>
    <sheet name="Precio 190" sheetId="2" state="visible" r:id="rId2"/>
    <sheet name="E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sz val="12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E2E8F0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0" fillId="3" borderId="1" pivotButton="0" quotePrefix="0" xfId="0"/>
    <xf numFmtId="0" fontId="0" fillId="3" borderId="1" pivotButton="0" quotePrefix="0" xfId="0"/>
    <xf numFmtId="10" fontId="0" fillId="3" borderId="1" applyAlignment="1" pivotButton="0" quotePrefix="0" xfId="0">
      <alignment horizontal="right"/>
    </xf>
    <xf numFmtId="3" fontId="0" fillId="0" borderId="1" pivotButton="0" quotePrefix="0" xfId="0"/>
    <xf numFmtId="164" fontId="0" fillId="3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/>
    </xf>
    <xf numFmtId="0" fontId="6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right"/>
    </xf>
    <xf numFmtId="0" fontId="6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right"/>
    </xf>
    <xf numFmtId="10" fontId="7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16" customWidth="1" min="4" max="4"/>
    <col width="36" customWidth="1" min="5" max="5"/>
    <col width="14" customWidth="1" min="6" max="6"/>
  </cols>
  <sheetData>
    <row r="1" ht="24" customHeight="1">
      <c r="A1" s="1" t="inlineStr">
        <is>
          <t>Presupuesto — 3000 cuentas orgánicas + personal + equipo + proxy</t>
        </is>
      </c>
    </row>
    <row r="2">
      <c r="A2" s="2" t="inlineStr">
        <is>
          <t>Celdas en amarillo = editables. El resto se calcula solo.</t>
        </is>
      </c>
    </row>
    <row r="4">
      <c r="A4" s="3" t="inlineStr">
        <is>
          <t>PARÁMETROS</t>
        </is>
      </c>
    </row>
    <row r="5">
      <c r="A5" s="4" t="inlineStr">
        <is>
          <t>Parámetro</t>
        </is>
      </c>
      <c r="B5" s="4" t="inlineStr">
        <is>
          <t>Valor</t>
        </is>
      </c>
      <c r="C5" s="4" t="inlineStr">
        <is>
          <t>Notas</t>
        </is>
      </c>
    </row>
    <row r="6">
      <c r="A6" s="5" t="inlineStr">
        <is>
          <t>Cantidad de cuentas</t>
        </is>
      </c>
      <c r="B6" s="6" t="n">
        <v>3000</v>
      </c>
      <c r="C6" s="5" t="inlineStr">
        <is>
          <t>Total a adquirir/operar</t>
        </is>
      </c>
    </row>
    <row r="7">
      <c r="A7" s="5" t="inlineStr">
        <is>
          <t>Meses de operación (proxies + personal)</t>
        </is>
      </c>
      <c r="B7" s="7" t="n">
        <v>3</v>
      </c>
      <c r="C7" s="5" t="inlineStr">
        <is>
          <t>Horizonte del presupuesto</t>
        </is>
      </c>
    </row>
    <row r="8">
      <c r="A8" s="5" t="inlineStr">
        <is>
          <t>Contingencia %</t>
        </is>
      </c>
      <c r="B8" s="8" t="n">
        <v>0.1</v>
      </c>
      <c r="C8" s="5" t="inlineStr">
        <is>
          <t>Sobre subtotal de costos</t>
        </is>
      </c>
    </row>
    <row r="10">
      <c r="A10" s="3" t="inlineStr">
        <is>
          <t>1) CUENTAS ORGÁNICAS</t>
        </is>
      </c>
    </row>
    <row r="11">
      <c r="A11" s="4" t="inlineStr">
        <is>
          <t>Concepto</t>
        </is>
      </c>
      <c r="B11" s="4" t="inlineStr">
        <is>
          <t>Cantidad</t>
        </is>
      </c>
      <c r="C11" s="4" t="inlineStr">
        <is>
          <t>Costo unitario (USD)</t>
        </is>
      </c>
      <c r="D11" s="4" t="inlineStr">
        <is>
          <t>Total (USD)</t>
        </is>
      </c>
      <c r="E11" s="4" t="inlineStr">
        <is>
          <t>Notas</t>
        </is>
      </c>
    </row>
    <row r="12">
      <c r="A12" s="5" t="inlineStr">
        <is>
          <t>Compra cuentas orgánicas (calidad media)</t>
        </is>
      </c>
      <c r="B12" s="9">
        <f>B6</f>
        <v/>
      </c>
      <c r="C12" s="10" t="n">
        <v>3</v>
      </c>
      <c r="D12" s="11">
        <f>B12*C12</f>
        <v/>
      </c>
      <c r="E12" s="5" t="inlineStr">
        <is>
          <t>Ajustar unitario según calidad/geo</t>
        </is>
      </c>
    </row>
    <row r="13">
      <c r="A13" s="12" t="inlineStr">
        <is>
          <t>Subtotal cuentas</t>
        </is>
      </c>
      <c r="D13" s="13">
        <f>D12</f>
        <v/>
      </c>
    </row>
    <row r="15">
      <c r="A15" s="3" t="inlineStr">
        <is>
          <t>2) PROXIES</t>
        </is>
      </c>
    </row>
    <row r="16">
      <c r="A16" s="4" t="inlineStr">
        <is>
          <t>Concepto</t>
        </is>
      </c>
      <c r="B16" s="4" t="inlineStr">
        <is>
          <t>Cantidad</t>
        </is>
      </c>
      <c r="C16" s="4" t="inlineStr">
        <is>
          <t>Costo unitario (USD)</t>
        </is>
      </c>
      <c r="D16" s="4" t="inlineStr">
        <is>
          <t>Total (USD)</t>
        </is>
      </c>
      <c r="E16" s="4" t="inlineStr">
        <is>
          <t>Notas</t>
        </is>
      </c>
    </row>
    <row r="17">
      <c r="A17" s="5" t="inlineStr">
        <is>
          <t>IPs residenciales (ratio 1:5)</t>
        </is>
      </c>
      <c r="B17" s="9">
        <f>ROUNDUP(B6/5,0)</f>
        <v/>
      </c>
      <c r="C17" s="10" t="n">
        <v>2.5</v>
      </c>
      <c r="D17" s="11">
        <f>B17*C17*B7</f>
        <v/>
      </c>
      <c r="E17" s="5" t="inlineStr">
        <is>
          <t>Costo por IP/mes × meses</t>
        </is>
      </c>
    </row>
    <row r="18">
      <c r="A18" s="12" t="inlineStr">
        <is>
          <t>Subtotal proxies</t>
        </is>
      </c>
      <c r="D18" s="13">
        <f>D17</f>
        <v/>
      </c>
    </row>
    <row r="20">
      <c r="A20" s="3" t="inlineStr">
        <is>
          <t>3) EQUIPO</t>
        </is>
      </c>
    </row>
    <row r="21">
      <c r="A21" s="4" t="inlineStr">
        <is>
          <t>Concepto</t>
        </is>
      </c>
      <c r="B21" s="4" t="inlineStr">
        <is>
          <t>Cantidad</t>
        </is>
      </c>
      <c r="C21" s="4" t="inlineStr">
        <is>
          <t>Costo unitario (USD)</t>
        </is>
      </c>
      <c r="D21" s="4" t="inlineStr">
        <is>
          <t>Total (USD)</t>
        </is>
      </c>
      <c r="E21" s="4" t="inlineStr">
        <is>
          <t>Notas</t>
        </is>
      </c>
    </row>
    <row r="22">
      <c r="A22" s="5" t="inlineStr">
        <is>
          <t>PCs / workstations</t>
        </is>
      </c>
      <c r="B22" s="6" t="n">
        <v>5</v>
      </c>
      <c r="C22" s="10" t="n">
        <v>800</v>
      </c>
      <c r="D22" s="11">
        <f>B22*C22</f>
        <v/>
      </c>
      <c r="E22" s="5" t="inlineStr">
        <is>
          <t>Operación + antidetect</t>
        </is>
      </c>
    </row>
    <row r="23">
      <c r="A23" s="5" t="inlineStr">
        <is>
          <t>Licencias antidetect / software</t>
        </is>
      </c>
      <c r="B23" s="6" t="n">
        <v>5</v>
      </c>
      <c r="C23" s="10" t="n">
        <v>100</v>
      </c>
      <c r="D23" s="11">
        <f>B23*C23</f>
        <v/>
      </c>
      <c r="E23" s="5" t="inlineStr">
        <is>
          <t>Costo setup / pack</t>
        </is>
      </c>
    </row>
    <row r="24">
      <c r="A24" s="5" t="inlineStr">
        <is>
          <t>Phones / farm ligera (opcional)</t>
        </is>
      </c>
      <c r="B24" s="6" t="n">
        <v>20</v>
      </c>
      <c r="C24" s="10" t="n">
        <v>120</v>
      </c>
      <c r="D24" s="11">
        <f>B24*C24</f>
        <v/>
      </c>
      <c r="E24" s="5" t="inlineStr">
        <is>
          <t>Si operas con móviles</t>
        </is>
      </c>
    </row>
    <row r="25">
      <c r="A25" s="5" t="inlineStr">
        <is>
          <t>Routers / networking / misc</t>
        </is>
      </c>
      <c r="B25" s="6" t="n">
        <v>1</v>
      </c>
      <c r="C25" s="10" t="n">
        <v>600</v>
      </c>
      <c r="D25" s="11">
        <f>B25*C25</f>
        <v/>
      </c>
      <c r="E25" s="5" t="inlineStr">
        <is>
          <t>Switch, cables, UPS básico</t>
        </is>
      </c>
    </row>
    <row r="26">
      <c r="A26" s="12" t="inlineStr">
        <is>
          <t>Subtotal equipo</t>
        </is>
      </c>
      <c r="D26" s="13">
        <f>SUM(D22:D25)</f>
        <v/>
      </c>
    </row>
    <row r="28">
      <c r="A28" s="3" t="inlineStr">
        <is>
          <t>4) PERSONAL</t>
        </is>
      </c>
    </row>
    <row r="29">
      <c r="A29" s="4" t="inlineStr">
        <is>
          <t>Rol</t>
        </is>
      </c>
      <c r="B29" s="4" t="inlineStr">
        <is>
          <t>Personas</t>
        </is>
      </c>
      <c r="C29" s="4" t="inlineStr">
        <is>
          <t>Sueldo mensual (USD)</t>
        </is>
      </c>
      <c r="D29" s="4" t="inlineStr">
        <is>
          <t>Total período (USD)</t>
        </is>
      </c>
      <c r="E29" s="4" t="inlineStr">
        <is>
          <t>Notas</t>
        </is>
      </c>
    </row>
    <row r="30">
      <c r="A30" s="5" t="inlineStr">
        <is>
          <t>Operador de cuentas</t>
        </is>
      </c>
      <c r="B30" s="7" t="n">
        <v>2</v>
      </c>
      <c r="C30" s="10" t="n">
        <v>800</v>
      </c>
      <c r="D30" s="11">
        <f>B30*C30*$B$7</f>
        <v/>
      </c>
      <c r="E30" s="5" t="inlineStr">
        <is>
          <t>Warmup / mantenimiento</t>
        </is>
      </c>
    </row>
    <row r="31">
      <c r="A31" s="5" t="inlineStr">
        <is>
          <t>Lead / QA</t>
        </is>
      </c>
      <c r="B31" s="7" t="n">
        <v>1</v>
      </c>
      <c r="C31" s="10" t="n">
        <v>1200</v>
      </c>
      <c r="D31" s="11">
        <f>B31*C31*$B$7</f>
        <v/>
      </c>
      <c r="E31" s="5" t="inlineStr">
        <is>
          <t>Calidad y control</t>
        </is>
      </c>
    </row>
    <row r="32">
      <c r="A32" s="5" t="inlineStr">
        <is>
          <t>Tech (proxies / stack)</t>
        </is>
      </c>
      <c r="B32" s="7" t="n">
        <v>1</v>
      </c>
      <c r="C32" s="10" t="n">
        <v>1000</v>
      </c>
      <c r="D32" s="11">
        <f>B32*C32*$B$7</f>
        <v/>
      </c>
      <c r="E32" s="5" t="inlineStr">
        <is>
          <t>Infra y soporte</t>
        </is>
      </c>
    </row>
    <row r="33">
      <c r="A33" s="12" t="inlineStr">
        <is>
          <t>Subtotal personal</t>
        </is>
      </c>
      <c r="D33" s="13">
        <f>SUM(D30:D32)</f>
        <v/>
      </c>
    </row>
    <row r="35">
      <c r="A35" s="3" t="inlineStr">
        <is>
          <t>RESUMEN DE COSTOS</t>
        </is>
      </c>
    </row>
    <row r="36">
      <c r="A36" s="4" t="inlineStr">
        <is>
          <t>Rubro</t>
        </is>
      </c>
      <c r="B36" s="4" t="inlineStr">
        <is>
          <t>Total (USD)</t>
        </is>
      </c>
      <c r="C36" s="4" t="inlineStr">
        <is>
          <t>% del costo</t>
        </is>
      </c>
    </row>
    <row r="37">
      <c r="A37" s="5" t="inlineStr">
        <is>
          <t>Cuentas</t>
        </is>
      </c>
      <c r="B37" s="11">
        <f>D13</f>
        <v/>
      </c>
      <c r="C37" s="14">
        <f>IF($B$43=0,0,B37/$B$43)</f>
        <v/>
      </c>
    </row>
    <row r="38">
      <c r="A38" s="5" t="inlineStr">
        <is>
          <t>Proxies</t>
        </is>
      </c>
      <c r="B38" s="11">
        <f>D18</f>
        <v/>
      </c>
      <c r="C38" s="14">
        <f>IF($B$43=0,0,B38/$B$43)</f>
        <v/>
      </c>
    </row>
    <row r="39">
      <c r="A39" s="5" t="inlineStr">
        <is>
          <t>Equipo</t>
        </is>
      </c>
      <c r="B39" s="11">
        <f>D26</f>
        <v/>
      </c>
      <c r="C39" s="14">
        <f>IF($B$43=0,0,B39/$B$43)</f>
        <v/>
      </c>
    </row>
    <row r="40">
      <c r="A40" s="5" t="inlineStr">
        <is>
          <t>Personal</t>
        </is>
      </c>
      <c r="B40" s="11">
        <f>D33</f>
        <v/>
      </c>
      <c r="C40" s="14">
        <f>IF($B$43=0,0,B40/$B$43)</f>
        <v/>
      </c>
    </row>
    <row r="41">
      <c r="A41" s="15" t="inlineStr">
        <is>
          <t>Subtotal (sin contingencia)</t>
        </is>
      </c>
      <c r="B41" s="16">
        <f>SUM(B37:B40)</f>
        <v/>
      </c>
    </row>
    <row r="42">
      <c r="A42" s="5" t="inlineStr">
        <is>
          <t>Contingencia</t>
        </is>
      </c>
      <c r="B42" s="11">
        <f>B41*$B$8</f>
        <v/>
      </c>
    </row>
    <row r="43">
      <c r="A43" s="17" t="inlineStr">
        <is>
          <t>COSTO TOTAL</t>
        </is>
      </c>
      <c r="B43" s="18">
        <f>B41+B42</f>
        <v/>
      </c>
    </row>
    <row r="44">
      <c r="A44" s="19" t="inlineStr">
        <is>
          <t>Costo all-in por cuenta</t>
        </is>
      </c>
      <c r="B44" s="20">
        <f>IF(B6=0,0,B43/B6)</f>
        <v/>
      </c>
    </row>
    <row r="46">
      <c r="A46" s="3" t="inlineStr">
        <is>
          <t>Notas</t>
        </is>
      </c>
    </row>
    <row r="47">
      <c r="A47" t="inlineStr">
        <is>
          <t>• Escenario base: calidad media de cuentas, proxies residenciales 1:5, operación 3 meses.</t>
        </is>
      </c>
    </row>
    <row r="48">
      <c r="A48" t="inlineStr">
        <is>
          <t>• Edita celdas amarillas para recalcular automáticamente el margen en la pestaña 'Precio 190'.</t>
        </is>
      </c>
    </row>
    <row r="49">
      <c r="A49" t="inlineStr">
        <is>
          <t>• Montos en USD.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55" customWidth="1" min="3" max="3"/>
    <col width="14" customWidth="1" min="4" max="4"/>
  </cols>
  <sheetData>
    <row r="1">
      <c r="A1" s="1" t="inlineStr">
        <is>
          <t>Precio final de venta: $190 por cuenta — Margen de ganancia</t>
        </is>
      </c>
    </row>
    <row r="2">
      <c r="A2" s="2" t="inlineStr">
        <is>
          <t>Toma el costo total de la pestaña Costos y calcula utilidad / márgenes.</t>
        </is>
      </c>
    </row>
    <row r="4">
      <c r="A4" s="3" t="inlineStr">
        <is>
          <t>ENTRADAS</t>
        </is>
      </c>
    </row>
    <row r="5">
      <c r="A5" s="4" t="inlineStr">
        <is>
          <t>Concepto</t>
        </is>
      </c>
      <c r="B5" s="4" t="inlineStr">
        <is>
          <t>Valor</t>
        </is>
      </c>
      <c r="C5" s="4" t="inlineStr">
        <is>
          <t>Fuente</t>
        </is>
      </c>
    </row>
    <row r="6">
      <c r="A6" s="5" t="inlineStr">
        <is>
          <t>Cantidad de cuentas</t>
        </is>
      </c>
      <c r="B6" s="9">
        <f>Costos!B6</f>
        <v/>
      </c>
      <c r="C6" s="5" t="inlineStr">
        <is>
          <t>Costos!B6</t>
        </is>
      </c>
    </row>
    <row r="7">
      <c r="A7" s="5" t="inlineStr">
        <is>
          <t>Precio final de venta / cuenta (USD)</t>
        </is>
      </c>
      <c r="B7" s="10" t="n">
        <v>190</v>
      </c>
      <c r="C7" s="5" t="inlineStr">
        <is>
          <t>Editable (pedido: 190)</t>
        </is>
      </c>
    </row>
    <row r="8">
      <c r="A8" s="5" t="inlineStr">
        <is>
          <t>Costo total del proyecto (USD)</t>
        </is>
      </c>
      <c r="B8" s="11">
        <f>Costos!B43</f>
        <v/>
      </c>
      <c r="C8" s="5" t="inlineStr">
        <is>
          <t>Costos!B43</t>
        </is>
      </c>
    </row>
    <row r="9">
      <c r="A9" s="5" t="inlineStr">
        <is>
          <t>Costo all-in por cuenta (USD)</t>
        </is>
      </c>
      <c r="B9" s="11">
        <f>Costos!B44</f>
        <v/>
      </c>
      <c r="C9" s="5" t="inlineStr">
        <is>
          <t>Costos!B44</t>
        </is>
      </c>
    </row>
    <row r="11">
      <c r="A11" s="3" t="inlineStr">
        <is>
          <t>P&amp;L / RESULTADOS</t>
        </is>
      </c>
    </row>
    <row r="12">
      <c r="A12" s="4" t="inlineStr">
        <is>
          <t>Métrica</t>
        </is>
      </c>
      <c r="B12" s="4" t="inlineStr">
        <is>
          <t>Valor</t>
        </is>
      </c>
      <c r="C12" s="4" t="inlineStr">
        <is>
          <t>Fórmula / nota</t>
        </is>
      </c>
    </row>
    <row r="13">
      <c r="A13" s="19" t="inlineStr">
        <is>
          <t>Ingresos totales (Revenue)</t>
        </is>
      </c>
      <c r="B13" s="20">
        <f>B6*B7</f>
        <v/>
      </c>
      <c r="C13" s="5" t="inlineStr">
        <is>
          <t>Cantidad × precio 190</t>
        </is>
      </c>
    </row>
    <row r="14">
      <c r="A14" s="5" t="inlineStr">
        <is>
          <t>Costo total (COGS + opex setup)</t>
        </is>
      </c>
      <c r="B14" s="11">
        <f>B8</f>
        <v/>
      </c>
      <c r="C14" s="5" t="inlineStr">
        <is>
          <t>Cuentas + proxy + equipo + personal + contingencia</t>
        </is>
      </c>
    </row>
    <row r="15">
      <c r="A15" s="21" t="inlineStr">
        <is>
          <t>Utilidad bruta (Profit)</t>
        </is>
      </c>
      <c r="B15" s="22">
        <f>B13-B14</f>
        <v/>
      </c>
      <c r="C15" s="5" t="inlineStr">
        <is>
          <t>Ingresos − Costos</t>
        </is>
      </c>
    </row>
    <row r="16">
      <c r="A16" s="21" t="inlineStr">
        <is>
          <t>Margen de ganancia % (sobre venta)</t>
        </is>
      </c>
      <c r="B16" s="23">
        <f>IF(B13=0,0,B15/B13)</f>
        <v/>
      </c>
      <c r="C16" s="5" t="inlineStr">
        <is>
          <t>Utilidad / Ingresos × 100</t>
        </is>
      </c>
    </row>
    <row r="17">
      <c r="A17" s="5" t="inlineStr">
        <is>
          <t>Markup % (sobre costo)</t>
        </is>
      </c>
      <c r="B17" s="14">
        <f>IF(B14=0,0,B15/B14)</f>
        <v/>
      </c>
      <c r="C17" s="5" t="inlineStr">
        <is>
          <t>Utilidad / Costo × 100</t>
        </is>
      </c>
    </row>
    <row r="18">
      <c r="A18" s="5" t="inlineStr">
        <is>
          <t>Utilidad por cuenta</t>
        </is>
      </c>
      <c r="B18" s="11">
        <f>IF(B6=0,0,B15/B6)</f>
        <v/>
      </c>
      <c r="C18" s="5" t="inlineStr">
        <is>
          <t>Profit / cantidad</t>
        </is>
      </c>
    </row>
    <row r="19">
      <c r="A19" s="5" t="inlineStr">
        <is>
          <t>Break-even (cuentas mínimas)</t>
        </is>
      </c>
      <c r="B19" s="9">
        <f>IF(B7=0,0,ROUNDUP(B14/B7,0))</f>
        <v/>
      </c>
      <c r="C19" s="5" t="inlineStr">
        <is>
          <t>Costo total ÷ precio venta</t>
        </is>
      </c>
    </row>
    <row r="21">
      <c r="A21" s="3" t="inlineStr">
        <is>
          <t>DESGLOSE POR CUENTA</t>
        </is>
      </c>
    </row>
    <row r="22">
      <c r="A22" s="4" t="inlineStr">
        <is>
          <t>Concepto</t>
        </is>
      </c>
      <c r="B22" s="4" t="inlineStr">
        <is>
          <t>USD / cuenta</t>
        </is>
      </c>
    </row>
    <row r="23">
      <c r="A23" s="5" t="inlineStr">
        <is>
          <t>Precio de venta</t>
        </is>
      </c>
      <c r="B23" s="11">
        <f>B7</f>
        <v/>
      </c>
    </row>
    <row r="24">
      <c r="A24" s="5" t="inlineStr">
        <is>
          <t>Costo all-in</t>
        </is>
      </c>
      <c r="B24" s="11">
        <f>B9</f>
        <v/>
      </c>
    </row>
    <row r="25">
      <c r="A25" s="21" t="inlineStr">
        <is>
          <t>Ganancia neta por cuenta</t>
        </is>
      </c>
      <c r="B25" s="22">
        <f>B23-B24</f>
        <v/>
      </c>
    </row>
    <row r="27">
      <c r="A27" s="3" t="inlineStr">
        <is>
          <t>Cómo leer el margen</t>
        </is>
      </c>
    </row>
    <row r="28">
      <c r="A28" t="inlineStr">
        <is>
          <t>• Margen de ganancia % = lo que te quedas de cada dólar vendido (estándar comercial).</t>
        </is>
      </c>
    </row>
    <row r="29">
      <c r="A29" t="inlineStr">
        <is>
          <t>• Markup % = cuánto multiplicas el costo (útil para pricing interno).</t>
        </is>
      </c>
    </row>
    <row r="30">
      <c r="A30" t="inlineStr">
        <is>
          <t>• Si cambias costos en la pestaña Costos o el precio en B7, todo se recalcula.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32" customWidth="1" min="5" max="5"/>
  </cols>
  <sheetData>
    <row r="1">
      <c r="A1" s="1" t="inlineStr">
        <is>
          <t>Comparativa de escenarios de costo (mismo precio de venta $190)</t>
        </is>
      </c>
    </row>
    <row r="3">
      <c r="A3" s="4" t="inlineStr">
        <is>
          <t>Rubro</t>
        </is>
      </c>
      <c r="B3" s="4" t="inlineStr">
        <is>
          <t>Bajo</t>
        </is>
      </c>
      <c r="C3" s="4" t="inlineStr">
        <is>
          <t>Medio (base)</t>
        </is>
      </c>
      <c r="D3" s="4" t="inlineStr">
        <is>
          <t>Alto</t>
        </is>
      </c>
      <c r="E3" s="4" t="inlineStr">
        <is>
          <t>Notas</t>
        </is>
      </c>
    </row>
    <row r="4">
      <c r="A4" s="5" t="inlineStr">
        <is>
          <t>Cuentas (3000)</t>
        </is>
      </c>
      <c r="B4" s="10" t="n">
        <v>4500</v>
      </c>
      <c r="C4" s="10" t="n">
        <v>9000</v>
      </c>
      <c r="D4" s="10" t="n">
        <v>18000</v>
      </c>
      <c r="E4" s="5" t="inlineStr">
        <is>
          <t>Unitario ~1.5 / 3 / 6</t>
        </is>
      </c>
    </row>
    <row r="5">
      <c r="A5" s="5" t="inlineStr">
        <is>
          <t>Proxies (3 meses)</t>
        </is>
      </c>
      <c r="B5" s="10" t="n">
        <v>1800</v>
      </c>
      <c r="C5" s="10" t="n">
        <v>4500</v>
      </c>
      <c r="D5" s="10" t="n">
        <v>9000</v>
      </c>
      <c r="E5" s="5" t="inlineStr">
        <is>
          <t>Ratio 1:10 / 1:5 / 1:3</t>
        </is>
      </c>
    </row>
    <row r="6">
      <c r="A6" s="5" t="inlineStr">
        <is>
          <t>Equipo</t>
        </is>
      </c>
      <c r="B6" s="10" t="n">
        <v>3000</v>
      </c>
      <c r="C6" s="10" t="n">
        <v>8000</v>
      </c>
      <c r="D6" s="10" t="n">
        <v>15000</v>
      </c>
      <c r="E6" s="5" t="inlineStr">
        <is>
          <t>Ligera / media / full farm</t>
        </is>
      </c>
    </row>
    <row r="7">
      <c r="A7" s="5" t="inlineStr">
        <is>
          <t>Personal (3 meses)</t>
        </is>
      </c>
      <c r="B7" s="10" t="n">
        <v>3600</v>
      </c>
      <c r="C7" s="10" t="n">
        <v>9000</v>
      </c>
      <c r="D7" s="10" t="n">
        <v>13500</v>
      </c>
      <c r="E7" s="5" t="inlineStr">
        <is>
          <t>Lean / base / reforzado</t>
        </is>
      </c>
    </row>
    <row r="8">
      <c r="A8" s="15" t="inlineStr">
        <is>
          <t>Subtotal</t>
        </is>
      </c>
      <c r="B8" s="16">
        <f>SUM(B4:B7)</f>
        <v/>
      </c>
      <c r="C8" s="16">
        <f>SUM(C4:C7)</f>
        <v/>
      </c>
      <c r="D8" s="16">
        <f>SUM(D4:D7)</f>
        <v/>
      </c>
    </row>
    <row r="9">
      <c r="A9" s="5" t="inlineStr">
        <is>
          <t>Contingencia 10%</t>
        </is>
      </c>
      <c r="B9" s="11">
        <f>B8*0.1</f>
        <v/>
      </c>
      <c r="C9" s="11">
        <f>C8*0.1</f>
        <v/>
      </c>
      <c r="D9" s="11">
        <f>D8*0.1</f>
        <v/>
      </c>
    </row>
    <row r="10">
      <c r="A10" s="12" t="inlineStr">
        <is>
          <t>Costo total</t>
        </is>
      </c>
      <c r="B10" s="13">
        <f>B8+B9</f>
        <v/>
      </c>
      <c r="C10" s="13">
        <f>C8+C9</f>
        <v/>
      </c>
      <c r="D10" s="13">
        <f>D8+D9</f>
        <v/>
      </c>
    </row>
    <row r="12">
      <c r="A12" s="3" t="inlineStr">
        <is>
          <t>Con precio de venta $190</t>
        </is>
      </c>
    </row>
    <row r="13">
      <c r="A13" s="5" t="inlineStr">
        <is>
          <t>Cantidad cuentas</t>
        </is>
      </c>
      <c r="B13" s="6" t="n">
        <v>3000</v>
      </c>
    </row>
    <row r="14">
      <c r="A14" s="5" t="inlineStr">
        <is>
          <t>Precio venta / cuenta</t>
        </is>
      </c>
      <c r="B14" s="10" t="n">
        <v>190</v>
      </c>
    </row>
    <row r="15">
      <c r="A15" s="19" t="inlineStr">
        <is>
          <t>Ingresos totales</t>
        </is>
      </c>
      <c r="B15" s="20">
        <f>$B$13*$B$14</f>
        <v/>
      </c>
      <c r="C15" s="20">
        <f>$B$13*$B$14</f>
        <v/>
      </c>
      <c r="D15" s="20">
        <f>$B$13*$B$14</f>
        <v/>
      </c>
    </row>
    <row r="16">
      <c r="A16" s="21" t="inlineStr">
        <is>
          <t>Utilidad</t>
        </is>
      </c>
      <c r="B16" s="22">
        <f>B15-B10</f>
        <v/>
      </c>
      <c r="C16" s="22">
        <f>C15-C10</f>
        <v/>
      </c>
      <c r="D16" s="22">
        <f>D15-D10</f>
        <v/>
      </c>
    </row>
    <row r="17">
      <c r="A17" s="21" t="inlineStr">
        <is>
          <t>Margen de ganancia %</t>
        </is>
      </c>
      <c r="B17" s="23">
        <f>IF(B15=0,0,B16/B15)</f>
        <v/>
      </c>
      <c r="C17" s="23">
        <f>IF(C15=0,0,C16/C15)</f>
        <v/>
      </c>
      <c r="D17" s="23">
        <f>IF(D15=0,0,D16/D15)</f>
        <v/>
      </c>
    </row>
    <row r="19">
      <c r="A19" s="5" t="inlineStr">
        <is>
          <t>Costo all-in / cuenta</t>
        </is>
      </c>
      <c r="B19" s="11">
        <f>B10/$B$13</f>
        <v/>
      </c>
      <c r="C19" s="11">
        <f>C10/$B$13</f>
        <v/>
      </c>
      <c r="D19" s="11">
        <f>D10/$B$13</f>
        <v/>
      </c>
    </row>
    <row r="20">
      <c r="A20" s="5" t="inlineStr">
        <is>
          <t>Ganancia / cuenta</t>
        </is>
      </c>
      <c r="B20" s="11">
        <f>$B$14-B19</f>
        <v/>
      </c>
      <c r="C20" s="11">
        <f>$B$14-C19</f>
        <v/>
      </c>
      <c r="D20" s="11">
        <f>$B$14-D19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2026-08-23T21:00:56Z</dcterms:created>
  <dcterms:modified xsi:type="dcterms:W3CDTF">2026-08-23T21:00:56Z</dcterms:modified>
</cp:coreProperties>
</file>