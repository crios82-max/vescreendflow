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</sheets>
  <definedNames>
    <definedName name="_xlnm.Print_Area" localSheetId="0">'PRESUPUESTO'!$A$1:$G$42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Calibri"/>
      <family val="2"/>
      <color theme="1"/>
      <sz val="11"/>
      <scheme val="minor"/>
    </font>
    <font>
      <name val="Arial"/>
      <b val="1"/>
      <color rgb="00111A2D"/>
      <sz val="16"/>
    </font>
    <font>
      <name val="Arial"/>
      <b val="1"/>
      <color rgb="00111A2D"/>
      <sz val="11"/>
    </font>
    <font>
      <name val="Arial"/>
      <color rgb="005F6874"/>
      <sz val="9"/>
    </font>
    <font>
      <name val="Arial"/>
      <b val="1"/>
      <color rgb="00111A2D"/>
      <sz val="10"/>
    </font>
    <font>
      <name val="Arial"/>
      <b val="1"/>
      <color rgb="00FFFFFF"/>
      <sz val="9"/>
    </font>
    <font>
      <name val="Arial"/>
      <color rgb="00151A22"/>
      <sz val="9"/>
    </font>
    <font>
      <name val="Arial"/>
      <b val="1"/>
      <color rgb="00151A22"/>
      <sz val="9"/>
    </font>
    <font>
      <name val="Arial"/>
      <b val="1"/>
      <color rgb="005F6874"/>
      <sz val="9"/>
    </font>
    <font>
      <name val="Arial"/>
      <b val="1"/>
      <color rgb="00151A22"/>
      <sz val="10"/>
    </font>
    <font>
      <name val="Arial"/>
      <color rgb="005F6874"/>
      <sz val="8"/>
    </font>
    <font>
      <name val="Arial"/>
      <b val="1"/>
      <color rgb="00151A22"/>
      <sz val="8"/>
    </font>
  </fonts>
  <fills count="8">
    <fill>
      <patternFill/>
    </fill>
    <fill>
      <patternFill patternType="gray125"/>
    </fill>
    <fill>
      <patternFill patternType="solid">
        <fgColor rgb="001B2A47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2E8F0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5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4" borderId="1" pivotButton="0" quotePrefix="0" xfId="0"/>
    <xf numFmtId="0" fontId="7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1" pivotButton="0" quotePrefix="0" xfId="0"/>
    <xf numFmtId="3" fontId="7" fillId="3" borderId="1" applyAlignment="1" pivotButton="0" quotePrefix="0" xfId="0">
      <alignment horizontal="center"/>
    </xf>
    <xf numFmtId="164" fontId="7" fillId="0" borderId="1" applyAlignment="1" pivotButton="0" quotePrefix="0" xfId="0">
      <alignment horizontal="right"/>
    </xf>
    <xf numFmtId="0" fontId="7" fillId="5" borderId="1" pivotButton="0" quotePrefix="0" xfId="0"/>
    <xf numFmtId="0" fontId="0" fillId="5" borderId="1" pivotButton="0" quotePrefix="0" xfId="0"/>
    <xf numFmtId="164" fontId="7" fillId="5" borderId="1" applyAlignment="1" pivotButton="0" quotePrefix="0" xfId="0">
      <alignment horizontal="right"/>
    </xf>
    <xf numFmtId="0" fontId="8" fillId="0" borderId="1" applyAlignment="1" pivotButton="0" quotePrefix="0" xfId="0">
      <alignment horizontal="center"/>
    </xf>
    <xf numFmtId="0" fontId="3" fillId="5" borderId="1" pivotButton="0" quotePrefix="0" xfId="0"/>
    <xf numFmtId="164" fontId="6" fillId="0" borderId="1" applyAlignment="1" pivotButton="0" quotePrefix="0" xfId="0">
      <alignment horizontal="right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7" fillId="6" borderId="1" pivotButton="0" quotePrefix="0" xfId="0"/>
    <xf numFmtId="164" fontId="9" fillId="6" borderId="1" applyAlignment="1" pivotButton="0" quotePrefix="0" xfId="0">
      <alignment horizontal="right"/>
    </xf>
    <xf numFmtId="0" fontId="7" fillId="7" borderId="1" pivotButton="0" quotePrefix="0" xfId="0"/>
    <xf numFmtId="0" fontId="9" fillId="7" borderId="1" applyAlignment="1" pivotButton="0" quotePrefix="0" xfId="0">
      <alignment horizontal="right"/>
    </xf>
    <xf numFmtId="164" fontId="7" fillId="0" borderId="1" pivotButton="0" quotePrefix="0" xfId="0"/>
    <xf numFmtId="0" fontId="10" fillId="5" borderId="1" applyAlignment="1" pivotButton="0" quotePrefix="0" xfId="0">
      <alignment vertical="top" wrapText="1"/>
    </xf>
    <xf numFmtId="3" fontId="7" fillId="0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E3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6" customWidth="1" min="4" max="4"/>
    <col width="38" customWidth="1" min="5" max="5"/>
    <col width="2" customWidth="1" min="6" max="6"/>
    <col width="28" customWidth="1" min="7" max="7"/>
  </cols>
  <sheetData>
    <row r="1" ht="8" customHeight="1"/>
    <row r="2">
      <c r="B2" s="1" t="inlineStr">
        <is>
          <t>Presupuesto - Proyecto Yellowstone</t>
        </is>
      </c>
    </row>
    <row r="3">
      <c r="B3" s="2" t="inlineStr">
        <is>
          <t>Paquete de cuentas orgánicas + estructura operativa</t>
        </is>
      </c>
    </row>
    <row r="4">
      <c r="B4" s="3" t="inlineStr">
        <is>
          <t>Red Humana, Espartanos, Laboratorio Bots, Staff y Equipo de Gerencia incluidos</t>
        </is>
      </c>
    </row>
    <row r="6">
      <c r="B6" s="4" t="inlineStr">
        <is>
          <t>PARÁMETROS</t>
        </is>
      </c>
    </row>
    <row r="7">
      <c r="B7" s="5" t="inlineStr">
        <is>
          <t>Parámetro</t>
        </is>
      </c>
      <c r="C7" s="5" t="inlineStr">
        <is>
          <t>Valor</t>
        </is>
      </c>
      <c r="D7" s="5" t="inlineStr">
        <is>
          <t>Notas</t>
        </is>
      </c>
      <c r="E7" s="6" t="n"/>
    </row>
    <row r="8" ht="18" customHeight="1">
      <c r="B8" s="7" t="inlineStr">
        <is>
          <t>Modalidad</t>
        </is>
      </c>
      <c r="C8" s="8" t="inlineStr">
        <is>
          <t>Proyecto / paquete</t>
        </is>
      </c>
      <c r="D8" s="7" t="inlineStr">
        <is>
          <t>Entrega única con estructura operativa incluida</t>
        </is>
      </c>
      <c r="E8" s="9" t="n"/>
    </row>
    <row r="9" ht="18" customHeight="1">
      <c r="B9" s="7" t="inlineStr">
        <is>
          <t>Cuentas orgánicas</t>
        </is>
      </c>
      <c r="C9" s="8" t="inlineStr">
        <is>
          <t>3,000</t>
        </is>
      </c>
      <c r="D9" s="7" t="inlineStr">
        <is>
          <t>Bots originales del paquete Yellowstone</t>
        </is>
      </c>
      <c r="E9" s="9" t="n"/>
    </row>
    <row r="10" ht="18" customHeight="1">
      <c r="B10" s="7" t="inlineStr">
        <is>
          <t>Moneda</t>
        </is>
      </c>
      <c r="C10" s="8" t="inlineStr">
        <is>
          <t>USD</t>
        </is>
      </c>
      <c r="D10" s="7" t="inlineStr">
        <is>
          <t>Dólares estadounidenses</t>
        </is>
      </c>
      <c r="E10" s="9" t="n"/>
    </row>
    <row r="12">
      <c r="B12" s="4" t="inlineStr">
        <is>
          <t>1) PAQUETE COMERCIAL</t>
        </is>
      </c>
    </row>
    <row r="13">
      <c r="B13" s="5" t="inlineStr">
        <is>
          <t>Concepto</t>
        </is>
      </c>
      <c r="C13" s="5" t="inlineStr">
        <is>
          <t>Cantidad</t>
        </is>
      </c>
      <c r="D13" s="5" t="inlineStr">
        <is>
          <t>Total (USD)</t>
        </is>
      </c>
      <c r="E13" s="5" t="inlineStr">
        <is>
          <t>Notas</t>
        </is>
      </c>
    </row>
    <row r="14" ht="20" customHeight="1">
      <c r="B14" s="10" t="inlineStr">
        <is>
          <t>Bots originales (cuentas orgánicas)</t>
        </is>
      </c>
      <c r="C14" s="11" t="n">
        <v>3000</v>
      </c>
      <c r="D14" s="12" t="n">
        <v>61500</v>
      </c>
      <c r="E14" s="10" t="inlineStr">
        <is>
          <t>Precio final del paquete · $20.50 c/u</t>
        </is>
      </c>
    </row>
    <row r="15">
      <c r="B15" s="13" t="inlineStr">
        <is>
          <t>Subtotal paquete comercial</t>
        </is>
      </c>
      <c r="C15" s="14" t="n"/>
      <c r="D15" s="15">
        <f>D14</f>
        <v/>
      </c>
      <c r="E15" s="14" t="n"/>
    </row>
    <row r="17">
      <c r="B17" s="4" t="inlineStr">
        <is>
          <t>2) ESTRUCTURA OPERATIVA INCLUIDA</t>
        </is>
      </c>
    </row>
    <row r="18">
      <c r="B18" s="5" t="inlineStr">
        <is>
          <t>Concepto</t>
        </is>
      </c>
      <c r="C18" s="5" t="inlineStr">
        <is>
          <t>Cantidad</t>
        </is>
      </c>
      <c r="D18" s="5" t="inlineStr">
        <is>
          <t>Total (USD)</t>
        </is>
      </c>
      <c r="E18" s="5" t="inlineStr">
        <is>
          <t>Notas</t>
        </is>
      </c>
    </row>
    <row r="19" ht="18" customHeight="1">
      <c r="B19" s="10" t="inlineStr">
        <is>
          <t>Espartanos (operación elite)</t>
        </is>
      </c>
      <c r="C19" s="11" t="n">
        <v>500</v>
      </c>
      <c r="D19" s="16" t="inlineStr">
        <is>
          <t>INCLUIDO</t>
        </is>
      </c>
      <c r="E19" s="10" t="inlineStr">
        <is>
          <t>Capa operativa elite del proyecto</t>
        </is>
      </c>
    </row>
    <row r="20" ht="18" customHeight="1">
      <c r="B20" s="10" t="inlineStr">
        <is>
          <t>Red Humana</t>
        </is>
      </c>
      <c r="C20" s="11" t="n">
        <v>9000</v>
      </c>
      <c r="D20" s="16" t="inlineStr">
        <is>
          <t>INCLUIDO</t>
        </is>
      </c>
      <c r="E20" s="10" t="inlineStr">
        <is>
          <t>Red operativa permanente</t>
        </is>
      </c>
    </row>
    <row r="21" ht="18" customHeight="1">
      <c r="B21" s="10" t="inlineStr">
        <is>
          <t>Laboratorio Bots</t>
        </is>
      </c>
      <c r="C21" s="11" t="n">
        <v>20</v>
      </c>
      <c r="D21" s="16" t="inlineStr">
        <is>
          <t>INCLUIDO</t>
        </is>
      </c>
      <c r="E21" s="10" t="inlineStr">
        <is>
          <t>Celda técnica y soporte de bots</t>
        </is>
      </c>
    </row>
    <row r="22" ht="18" customHeight="1">
      <c r="B22" s="10" t="inlineStr">
        <is>
          <t>Staff</t>
        </is>
      </c>
      <c r="C22" s="11" t="n">
        <v>12</v>
      </c>
      <c r="D22" s="16" t="inlineStr">
        <is>
          <t>INCLUIDO</t>
        </is>
      </c>
      <c r="E22" s="10" t="inlineStr">
        <is>
          <t>Operación diaria</t>
        </is>
      </c>
    </row>
    <row r="23" ht="18" customHeight="1">
      <c r="B23" s="10" t="inlineStr">
        <is>
          <t>Equipo Gerencia</t>
        </is>
      </c>
      <c r="C23" s="11" t="n">
        <v>3</v>
      </c>
      <c r="D23" s="16" t="inlineStr">
        <is>
          <t>INCLUIDO</t>
        </is>
      </c>
      <c r="E23" s="10" t="inlineStr">
        <is>
          <t>Dirección y control del proyecto</t>
        </is>
      </c>
    </row>
    <row r="24">
      <c r="B24" s="13" t="inlineStr">
        <is>
          <t>Subtotal estructura operativa</t>
        </is>
      </c>
      <c r="C24" s="14" t="n"/>
      <c r="D24" s="15" t="n">
        <v>0</v>
      </c>
      <c r="E24" s="17" t="inlineStr">
        <is>
          <t>Incluida en el precio del paquete</t>
        </is>
      </c>
    </row>
    <row r="26">
      <c r="B26" s="4" t="inlineStr">
        <is>
          <t>RESUMEN DE COSTOS</t>
        </is>
      </c>
      <c r="D26" s="4" t="inlineStr">
        <is>
          <t>INCLUYE</t>
        </is>
      </c>
    </row>
    <row r="27">
      <c r="B27" s="5" t="inlineStr">
        <is>
          <t>Rubro</t>
        </is>
      </c>
      <c r="C27" s="5" t="inlineStr">
        <is>
          <t>Total (USD)</t>
        </is>
      </c>
      <c r="D27" s="5" t="inlineStr">
        <is>
          <t>Componente</t>
        </is>
      </c>
      <c r="E27" s="5" t="inlineStr">
        <is>
          <t>Detalle</t>
        </is>
      </c>
    </row>
    <row r="28">
      <c r="B28" s="10" t="inlineStr">
        <is>
          <t>Paquete comercial (3,000 cuentas)</t>
        </is>
      </c>
      <c r="C28" s="18">
        <f>D15</f>
        <v/>
      </c>
      <c r="D28" s="8" t="inlineStr">
        <is>
          <t>3,000</t>
        </is>
      </c>
      <c r="E28" s="10" t="inlineStr">
        <is>
          <t>Cuentas orgánicas (bots originales)</t>
        </is>
      </c>
    </row>
    <row r="29">
      <c r="B29" s="10" t="inlineStr">
        <is>
          <t>Estructura operativa incluida</t>
        </is>
      </c>
      <c r="C29" s="18" t="n">
        <v>0</v>
      </c>
      <c r="D29" s="8" t="inlineStr">
        <is>
          <t>500</t>
        </is>
      </c>
      <c r="E29" s="10" t="inlineStr">
        <is>
          <t>Espartanos</t>
        </is>
      </c>
    </row>
    <row r="30">
      <c r="B30" s="19" t="inlineStr">
        <is>
          <t>Subtotal</t>
        </is>
      </c>
      <c r="C30" s="20">
        <f>C28+C29</f>
        <v/>
      </c>
      <c r="D30" s="8" t="inlineStr">
        <is>
          <t>9,000</t>
        </is>
      </c>
      <c r="E30" s="10" t="inlineStr">
        <is>
          <t>Red Humana</t>
        </is>
      </c>
    </row>
    <row r="31">
      <c r="B31" s="21" t="inlineStr">
        <is>
          <t>TOTAL PRESUPUESTO</t>
        </is>
      </c>
      <c r="C31" s="22">
        <f>C30</f>
        <v/>
      </c>
      <c r="D31" s="8" t="inlineStr">
        <is>
          <t>20 + 12 + 3</t>
        </is>
      </c>
      <c r="E31" s="10" t="inlineStr">
        <is>
          <t>Lab Bots · Staff · Gerencia</t>
        </is>
      </c>
    </row>
    <row r="32">
      <c r="B32" s="23" t="inlineStr">
        <is>
          <t>Presupuesto all-in</t>
        </is>
      </c>
      <c r="C32" s="24">
        <f>"USD "&amp;TEXT(C31,"#,##0")</f>
        <v/>
      </c>
      <c r="D32" s="8" t="inlineStr">
        <is>
          <t>All-in</t>
        </is>
      </c>
      <c r="E32" s="10" t="inlineStr">
        <is>
          <t>Estructura completa incluida</t>
        </is>
      </c>
    </row>
    <row r="34">
      <c r="B34" s="10" t="inlineStr">
        <is>
          <t>Precio por cuenta</t>
        </is>
      </c>
      <c r="C34" s="25">
        <f>IF(C14=0,0,D14/C14)</f>
        <v/>
      </c>
      <c r="D34" s="26" t="inlineStr">
        <is>
          <t>Precio final del paquete Yellowstone: USD 61,500 por 3,000 cuentas orgánicas, con estructura operativa completa incluida (Espartanos, Red Humana, Laboratorio Bots, Staff y Equipo de Gerencia).</t>
        </is>
      </c>
      <c r="E34" s="14" t="n"/>
    </row>
    <row r="35">
      <c r="B35" s="10" t="inlineStr">
        <is>
          <t>Cuentas incluidas</t>
        </is>
      </c>
      <c r="C35" s="27">
        <f>C14</f>
        <v/>
      </c>
      <c r="D35" s="14" t="n"/>
      <c r="E35" s="14" t="n"/>
    </row>
    <row r="36">
      <c r="D36" s="14" t="n"/>
      <c r="E36" s="14" t="n"/>
    </row>
    <row r="38">
      <c r="B38" s="28" t="inlineStr">
        <is>
          <t>Presupuesto referencial expresado en dólares estadounidenses.</t>
        </is>
      </c>
      <c r="D38" s="29" t="inlineStr">
        <is>
          <t>VIGENCIA: 15 DÍAS  |  1 / 1</t>
        </is>
      </c>
    </row>
  </sheetData>
  <mergeCells count="10">
    <mergeCell ref="D8:E8"/>
    <mergeCell ref="D34:E36"/>
    <mergeCell ref="D7:E7"/>
    <mergeCell ref="B4:E4"/>
    <mergeCell ref="D10:E10"/>
    <mergeCell ref="D38:E38"/>
    <mergeCell ref="B3:E3"/>
    <mergeCell ref="B2:E2"/>
    <mergeCell ref="D26:E26"/>
    <mergeCell ref="D9:E9"/>
  </mergeCells>
  <pageMargins left="0.4" right="0.4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2026-09-14T12:53:00Z</dcterms:created>
  <dcterms:modified xsi:type="dcterms:W3CDTF">2026-09-14T12:53:00Z</dcterms:modified>
</cp:coreProperties>
</file>