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LLOWSTONE" sheetId="1" state="visible" r:id="rId1"/>
    <sheet name="ESTRUCTURA" sheetId="2" state="visible" r:id="rId2"/>
    <sheet name="PRECIO 190" sheetId="3" state="visible" r:id="rId3"/>
    <sheet name="DESGLOSE 50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9">
    <font>
      <name val="Calibri"/>
      <family val="2"/>
      <color theme="1"/>
      <sz val="11"/>
      <scheme val="minor"/>
    </font>
    <font>
      <name val="Arial Black"/>
      <b val="1"/>
      <color rgb="001E3A5F"/>
      <sz val="22"/>
    </font>
    <font>
      <name val="Arial"/>
      <b val="1"/>
      <color rgb="001E3A5F"/>
      <sz val="14"/>
    </font>
    <font>
      <name val="Arial"/>
      <b val="1"/>
      <color rgb="001E3A5F"/>
      <sz val="13"/>
    </font>
    <font>
      <name val="Arial Black"/>
      <b val="1"/>
      <color rgb="00C41E3A"/>
      <sz val="20"/>
    </font>
    <font>
      <name val="Arial"/>
      <i val="1"/>
      <color rgb="0064748B"/>
      <sz val="9"/>
    </font>
    <font>
      <name val="Arial Black"/>
      <b val="1"/>
      <color rgb="00FFFFFF"/>
      <sz val="14"/>
    </font>
    <font>
      <name val="Arial"/>
      <b val="1"/>
      <color rgb="001E3A5F"/>
      <sz val="11"/>
    </font>
    <font>
      <name val="Arial Black"/>
      <b val="1"/>
      <color rgb="00FFFFFF"/>
      <sz val="12"/>
    </font>
    <font>
      <name val="Arial Black"/>
      <b val="1"/>
      <color rgb="00166534"/>
      <sz val="14"/>
    </font>
    <font>
      <name val="Arial Black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1E3A5F"/>
      <sz val="12"/>
    </font>
    <font>
      <name val="Arial"/>
      <color rgb="00475569"/>
      <sz val="9"/>
    </font>
    <font>
      <name val="Arial Black"/>
      <b val="1"/>
      <color rgb="001E3A5F"/>
      <sz val="12"/>
    </font>
    <font>
      <name val="Arial Black"/>
      <b val="1"/>
      <color rgb="001E3A5F"/>
      <sz val="14"/>
    </font>
    <font>
      <name val="Arial"/>
      <color rgb="001E3A5F"/>
      <sz val="11"/>
    </font>
    <font>
      <name val="Arial"/>
      <color rgb="0064748B"/>
      <sz val="9"/>
    </font>
    <font>
      <name val="Arial"/>
      <color rgb="00C41E3A"/>
      <sz val="9"/>
    </font>
  </fonts>
  <fills count="10">
    <fill>
      <patternFill/>
    </fill>
    <fill>
      <patternFill patternType="gray125"/>
    </fill>
    <fill>
      <patternFill patternType="solid">
        <fgColor rgb="00FFFEF7"/>
      </patternFill>
    </fill>
    <fill>
      <patternFill patternType="solid">
        <fgColor rgb="00FFF5F5"/>
      </patternFill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2C5282"/>
      </patternFill>
    </fill>
  </fills>
  <borders count="2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165" fontId="2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0" fontId="9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0" borderId="0" pivotButton="0" quotePrefix="0" xfId="0"/>
    <xf numFmtId="3" fontId="2" fillId="5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165" fontId="15" fillId="6" borderId="1" applyAlignment="1" pivotButton="0" quotePrefix="0" xfId="0">
      <alignment horizontal="center" vertical="center" wrapText="1"/>
    </xf>
    <xf numFmtId="165" fontId="15" fillId="2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165" fontId="15" fillId="8" borderId="1" applyAlignment="1" pivotButton="0" quotePrefix="0" xfId="0">
      <alignment horizontal="center" vertical="center" wrapText="1"/>
    </xf>
    <xf numFmtId="10" fontId="15" fillId="2" borderId="1" applyAlignment="1" pivotButton="0" quotePrefix="0" xfId="0">
      <alignment horizontal="center" vertical="center" wrapText="1"/>
    </xf>
    <xf numFmtId="3" fontId="15" fillId="2" borderId="1" applyAlignment="1" pivotButton="0" quotePrefix="0" xfId="0">
      <alignment horizontal="center" vertical="center" wrapText="1"/>
    </xf>
    <xf numFmtId="3" fontId="16" fillId="5" borderId="1" applyAlignment="1" pivotButton="0" quotePrefix="0" xfId="0">
      <alignment horizontal="center" vertical="center" wrapText="1"/>
    </xf>
    <xf numFmtId="165" fontId="16" fillId="5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left" vertical="center" wrapText="1"/>
    </xf>
    <xf numFmtId="0" fontId="16" fillId="2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8" customWidth="1" min="3" max="3"/>
    <col width="4" customWidth="1" min="4" max="4"/>
    <col width="18" customWidth="1" min="5" max="5"/>
    <col width="16" customWidth="1" min="6" max="6"/>
  </cols>
  <sheetData>
    <row r="1">
      <c r="A1" t="inlineStr"/>
    </row>
    <row r="2" ht="40" customHeight="1">
      <c r="B2" s="1" t="inlineStr">
        <is>
          <t>YELLOWSTONE</t>
        </is>
      </c>
      <c r="C2" s="2" t="n"/>
      <c r="E2" s="3" t="inlineStr">
        <is>
          <t>VENTA</t>
        </is>
      </c>
      <c r="F2" s="2" t="n"/>
    </row>
    <row r="3" ht="32" customHeight="1">
      <c r="B3" s="4" t="n">
        <v>500</v>
      </c>
      <c r="C3" s="5" t="inlineStr">
        <is>
          <t>ESPARTANOS</t>
        </is>
      </c>
      <c r="E3" s="6" t="inlineStr">
        <is>
          <t>Precio / cuenta</t>
        </is>
      </c>
      <c r="F3" s="7" t="n">
        <v>190</v>
      </c>
    </row>
    <row r="4" ht="32" customHeight="1">
      <c r="B4" s="4" t="n">
        <v>9000</v>
      </c>
      <c r="C4" s="5" t="inlineStr">
        <is>
          <t>RED HUMANA</t>
        </is>
      </c>
      <c r="E4" s="6" t="inlineStr">
        <is>
          <t>Cuentas a vender</t>
        </is>
      </c>
      <c r="F4" s="4">
        <f>B5</f>
        <v/>
      </c>
    </row>
    <row r="5" ht="32" customHeight="1">
      <c r="B5" s="4" t="n">
        <v>3000</v>
      </c>
      <c r="C5" s="5" t="inlineStr">
        <is>
          <t>BOTS ORIGINALES</t>
        </is>
      </c>
      <c r="E5" s="8" t="inlineStr">
        <is>
          <t>Ingresos</t>
        </is>
      </c>
      <c r="F5" s="9">
        <f>F3*F4</f>
        <v/>
      </c>
    </row>
    <row r="6" ht="36" customHeight="1">
      <c r="B6" s="10" t="inlineStr">
        <is>
          <t>TOTAL $ CONSTRUCCIÓN</t>
        </is>
      </c>
      <c r="C6" s="11" t="n">
        <v>50000</v>
      </c>
      <c r="E6" s="12" t="inlineStr">
        <is>
          <t>MARGEN</t>
        </is>
      </c>
      <c r="F6" s="13">
        <f>IF(F5=0,0,(F5-C6)/F5)</f>
        <v/>
      </c>
    </row>
    <row r="8">
      <c r="B8" s="14" t="inlineStr">
        <is>
          <t>Mismo look del presupuesto a mano · celdas clave editables en amarillo en las otras pestañas</t>
        </is>
      </c>
    </row>
    <row r="9">
      <c r="B9" s="14" t="inlineStr">
        <is>
          <t>50K = costo total de construcción del paquete (editable arriba).</t>
        </is>
      </c>
    </row>
  </sheetData>
  <mergeCells count="4">
    <mergeCell ref="E2:F2"/>
    <mergeCell ref="B9:F9"/>
    <mergeCell ref="B2:C2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4" customWidth="1" min="4" max="4"/>
    <col width="36" customWidth="1" min="5" max="5"/>
  </cols>
  <sheetData>
    <row r="2" ht="34" customHeight="1">
      <c r="B2" s="15" t="inlineStr">
        <is>
          <t>YELLOWSTONE — ESTRUCTURA</t>
        </is>
      </c>
      <c r="C2" s="2" t="n"/>
    </row>
    <row r="3">
      <c r="B3" s="16" t="inlineStr">
        <is>
          <t>RECURSO</t>
        </is>
      </c>
      <c r="C3" s="16" t="inlineStr">
        <is>
          <t>CANTIDAD</t>
        </is>
      </c>
      <c r="E3" s="17" t="inlineStr">
        <is>
          <t>Notas (mismo presupuesto)</t>
        </is>
      </c>
    </row>
    <row r="4" ht="28" customHeight="1">
      <c r="B4" s="5" t="inlineStr">
        <is>
          <t>RED HUMANA</t>
        </is>
      </c>
      <c r="C4" s="18" t="n">
        <v>9000</v>
      </c>
      <c r="E4" s="19" t="inlineStr">
        <is>
          <t>RED HUMANA = red de cuentas/personas operativas</t>
        </is>
      </c>
    </row>
    <row r="5" ht="28" customHeight="1">
      <c r="B5" s="5" t="inlineStr">
        <is>
          <t>FE SPARTANS</t>
        </is>
      </c>
      <c r="C5" s="18" t="n">
        <v>500</v>
      </c>
      <c r="E5" s="19" t="inlineStr">
        <is>
          <t>FE SPARTANS = operadores elite (500)</t>
        </is>
      </c>
    </row>
    <row r="6" ht="28" customHeight="1">
      <c r="B6" s="5" t="inlineStr">
        <is>
          <t>LABORATORIO BOTS</t>
        </is>
      </c>
      <c r="C6" s="18" t="n">
        <v>20</v>
      </c>
      <c r="E6" s="19" t="inlineStr">
        <is>
          <t>LABORATORIO BOTS = celda técnica (20)</t>
        </is>
      </c>
    </row>
    <row r="7" ht="28" customHeight="1">
      <c r="B7" s="5" t="inlineStr">
        <is>
          <t>STAFF</t>
        </is>
      </c>
      <c r="C7" s="18" t="n">
        <v>12</v>
      </c>
      <c r="E7" s="19" t="inlineStr">
        <is>
          <t>STAFF = operación diaria (12)</t>
        </is>
      </c>
    </row>
    <row r="8" ht="28" customHeight="1">
      <c r="B8" s="5" t="inlineStr">
        <is>
          <t>EQUIPO GERENCIA</t>
        </is>
      </c>
      <c r="C8" s="18" t="n">
        <v>3</v>
      </c>
      <c r="E8" s="19" t="inlineStr">
        <is>
          <t>EQUIPO GERENCIA = dirección (3)</t>
        </is>
      </c>
    </row>
    <row r="9" ht="28" customHeight="1">
      <c r="B9" s="5" t="inlineStr"/>
      <c r="C9" s="20" t="inlineStr"/>
      <c r="E9" s="19" t="inlineStr">
        <is>
          <t>BOTS ORIGINALES (pestaña YELLOWSTONE) = 3.000 a vender</t>
        </is>
      </c>
    </row>
    <row r="11">
      <c r="B11" s="10" t="inlineStr">
        <is>
          <t>TOTAL UNIDADES / ROLES</t>
        </is>
      </c>
      <c r="C11" s="21">
        <f>SUM(C4:C8)</f>
        <v/>
      </c>
    </row>
  </sheetData>
  <mergeCells count="1"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40" customWidth="1" min="4" max="4"/>
  </cols>
  <sheetData>
    <row r="2" ht="32" customHeight="1">
      <c r="B2" s="3" t="inlineStr">
        <is>
          <t>PRECIO FINAL $190 / CUENTA — MARGEN</t>
        </is>
      </c>
      <c r="C2" s="2" t="n"/>
    </row>
    <row r="3">
      <c r="B3" s="16" t="inlineStr">
        <is>
          <t>CONCEPTO</t>
        </is>
      </c>
      <c r="C3" s="16" t="inlineStr">
        <is>
          <t>USD</t>
        </is>
      </c>
    </row>
    <row r="4" ht="26" customHeight="1">
      <c r="B4" s="6" t="inlineStr">
        <is>
          <t>Cantidad de cuentas (BOTS ORIGINALES)</t>
        </is>
      </c>
      <c r="C4" s="4">
        <f>YELLOWSTONE!B5</f>
        <v/>
      </c>
    </row>
    <row r="5" ht="26" customHeight="1">
      <c r="B5" s="6" t="inlineStr">
        <is>
          <t>Precio final de venta / cuenta</t>
        </is>
      </c>
      <c r="C5" s="7">
        <f>YELLOWSTONE!F3</f>
        <v/>
      </c>
    </row>
    <row r="6" ht="26" customHeight="1">
      <c r="B6" s="6" t="inlineStr">
        <is>
          <t>Costo total construcción (50K)</t>
        </is>
      </c>
      <c r="C6" s="7">
        <f>YELLOWSTONE!C6</f>
        <v/>
      </c>
    </row>
    <row r="7" ht="26" customHeight="1">
      <c r="B7" s="6" t="inlineStr">
        <is>
          <t>Costo all-in por cuenta</t>
        </is>
      </c>
      <c r="C7" s="22">
        <f>IF(C4=0,0,C6/C4)</f>
        <v/>
      </c>
    </row>
    <row r="9" ht="28" customHeight="1">
      <c r="B9" s="23" t="inlineStr">
        <is>
          <t>P&amp;L / RESULTADOS</t>
        </is>
      </c>
      <c r="C9" s="2" t="n"/>
    </row>
    <row r="10" ht="28" customHeight="1">
      <c r="B10" s="24" t="inlineStr">
        <is>
          <t>INGRESOS TOTALES</t>
        </is>
      </c>
      <c r="C10" s="25">
        <f>C4*C5</f>
        <v/>
      </c>
    </row>
    <row r="11" ht="28" customHeight="1">
      <c r="B11" s="6" t="inlineStr">
        <is>
          <t>COSTO CONSTRUCCIÓN</t>
        </is>
      </c>
      <c r="C11" s="26">
        <f>C6</f>
        <v/>
      </c>
    </row>
    <row r="12" ht="28" customHeight="1">
      <c r="B12" s="27" t="inlineStr">
        <is>
          <t>UTILIDAD</t>
        </is>
      </c>
      <c r="C12" s="28">
        <f>C10-C11</f>
        <v/>
      </c>
    </row>
    <row r="13" ht="28" customHeight="1">
      <c r="B13" s="27" t="inlineStr">
        <is>
          <t>MARGEN DE GANANCIA %</t>
        </is>
      </c>
      <c r="C13" s="13">
        <f>IF(C10=0,0,C12/C10)</f>
        <v/>
      </c>
    </row>
    <row r="14" ht="28" customHeight="1">
      <c r="B14" s="6" t="inlineStr">
        <is>
          <t>MARKUP % (sobre costo)</t>
        </is>
      </c>
      <c r="C14" s="29">
        <f>IF(C11=0,0,C12/C11)</f>
        <v/>
      </c>
    </row>
    <row r="15" ht="28" customHeight="1">
      <c r="B15" s="6" t="inlineStr">
        <is>
          <t>Utilidad por cuenta</t>
        </is>
      </c>
      <c r="C15" s="26">
        <f>IF(C4=0,0,C12/C4)</f>
        <v/>
      </c>
    </row>
    <row r="16" ht="28" customHeight="1">
      <c r="B16" s="6" t="inlineStr">
        <is>
          <t>Break-even (cuentas mínimas)</t>
        </is>
      </c>
      <c r="C16" s="30">
        <f>IF(C5=0,0,ROUNDUP(C11/C5,0))</f>
        <v/>
      </c>
    </row>
    <row r="18">
      <c r="B18" s="14" t="inlineStr">
        <is>
          <t>Un solo presupuesto Yellowstone: construcción 50K + venta a $190/cuenta.</t>
        </is>
      </c>
    </row>
    <row r="19">
      <c r="B19" s="14" t="inlineStr">
        <is>
          <t>Edita precio en YELLOWSTONE!F3 o el 50K en YELLOWSTONE!C6 — el margen se recalcula solo.</t>
        </is>
      </c>
    </row>
  </sheetData>
  <mergeCells count="4">
    <mergeCell ref="B9:C9"/>
    <mergeCell ref="B18:D18"/>
    <mergeCell ref="B19:D19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4" customWidth="1" min="4" max="4"/>
    <col width="16" customWidth="1" min="5" max="5"/>
    <col width="28" customWidth="1" min="6" max="6"/>
  </cols>
  <sheetData>
    <row r="2" ht="32" customHeight="1">
      <c r="B2" s="3" t="inlineStr">
        <is>
          <t>DESGLOSE DEL TOTAL CONSTRUCCIÓN ($50K)</t>
        </is>
      </c>
      <c r="C2" s="2" t="n"/>
      <c r="D2" s="2" t="n"/>
      <c r="E2" s="2" t="n"/>
    </row>
    <row r="3">
      <c r="B3" s="16" t="inlineStr">
        <is>
          <t>RUBRO</t>
        </is>
      </c>
      <c r="C3" s="16" t="inlineStr">
        <is>
          <t>CANT.</t>
        </is>
      </c>
      <c r="D3" s="16" t="inlineStr">
        <is>
          <t>COSTO UNIT.</t>
        </is>
      </c>
      <c r="E3" s="16" t="inlineStr">
        <is>
          <t>TOTAL</t>
        </is>
      </c>
      <c r="F3" s="16" t="inlineStr">
        <is>
          <t>NOTA</t>
        </is>
      </c>
    </row>
    <row r="4" ht="24" customHeight="1">
      <c r="B4" s="6" t="inlineStr">
        <is>
          <t>ESPARTANOS (setup / pack)</t>
        </is>
      </c>
      <c r="C4" s="31" t="n">
        <v>500</v>
      </c>
      <c r="D4" s="32" t="n">
        <v>16</v>
      </c>
      <c r="E4" s="22">
        <f>C4*D4</f>
        <v/>
      </c>
      <c r="F4" s="33" t="inlineStr">
        <is>
          <t>FE Spartans</t>
        </is>
      </c>
    </row>
    <row r="5" ht="24" customHeight="1">
      <c r="B5" s="6" t="inlineStr">
        <is>
          <t>RED HUMANA (onboarding)</t>
        </is>
      </c>
      <c r="C5" s="31" t="n">
        <v>9000</v>
      </c>
      <c r="D5" s="32" t="n">
        <v>1.8</v>
      </c>
      <c r="E5" s="22">
        <f>C5*D5</f>
        <v/>
      </c>
      <c r="F5" s="33" t="inlineStr">
        <is>
          <t>red operativa</t>
        </is>
      </c>
    </row>
    <row r="6" ht="24" customHeight="1">
      <c r="B6" s="6" t="inlineStr">
        <is>
          <t>BOTS ORIGINALES (cuentas)</t>
        </is>
      </c>
      <c r="C6" s="31" t="n">
        <v>3000</v>
      </c>
      <c r="D6" s="32" t="n">
        <v>4.5</v>
      </c>
      <c r="E6" s="22">
        <f>C6*D6</f>
        <v/>
      </c>
      <c r="F6" s="33" t="inlineStr">
        <is>
          <t>3.000 orgánicas</t>
        </is>
      </c>
    </row>
    <row r="7" ht="24" customHeight="1">
      <c r="B7" s="6" t="inlineStr">
        <is>
          <t>LABORATORIO BOTS (infra)</t>
        </is>
      </c>
      <c r="C7" s="31" t="n">
        <v>20</v>
      </c>
      <c r="D7" s="32" t="n">
        <v>120</v>
      </c>
      <c r="E7" s="22">
        <f>C7*D7</f>
        <v/>
      </c>
      <c r="F7" s="33" t="inlineStr">
        <is>
          <t>celda técnica</t>
        </is>
      </c>
    </row>
    <row r="8" ht="24" customHeight="1">
      <c r="B8" s="6" t="inlineStr">
        <is>
          <t>STAFF (setup)</t>
        </is>
      </c>
      <c r="C8" s="31" t="n">
        <v>12</v>
      </c>
      <c r="D8" s="32" t="n">
        <v>180</v>
      </c>
      <c r="E8" s="22">
        <f>C8*D8</f>
        <v/>
      </c>
      <c r="F8" s="33" t="inlineStr">
        <is>
          <t>operación</t>
        </is>
      </c>
    </row>
    <row r="9" ht="24" customHeight="1">
      <c r="B9" s="6" t="inlineStr">
        <is>
          <t>EQUIPO GERENCIA (setup)</t>
        </is>
      </c>
      <c r="C9" s="31" t="n">
        <v>3</v>
      </c>
      <c r="D9" s="32" t="n">
        <v>450</v>
      </c>
      <c r="E9" s="22">
        <f>C9*D9</f>
        <v/>
      </c>
      <c r="F9" s="33" t="inlineStr">
        <is>
          <t>dirección</t>
        </is>
      </c>
    </row>
    <row r="10" ht="24" customHeight="1">
      <c r="B10" s="6" t="inlineStr">
        <is>
          <t>PROXIES / RED (pack)</t>
        </is>
      </c>
      <c r="C10" s="31" t="n">
        <v>1</v>
      </c>
      <c r="D10" s="32" t="n">
        <v>4000</v>
      </c>
      <c r="E10" s="22">
        <f>C10*D10</f>
        <v/>
      </c>
      <c r="F10" s="33" t="inlineStr">
        <is>
          <t>conectividad</t>
        </is>
      </c>
    </row>
    <row r="11" ht="24" customHeight="1">
      <c r="B11" s="6" t="inlineStr">
        <is>
          <t>EQUIPO / HARDWARE</t>
        </is>
      </c>
      <c r="C11" s="31" t="n">
        <v>1</v>
      </c>
      <c r="D11" s="32" t="n">
        <v>2390</v>
      </c>
      <c r="E11" s="22">
        <f>C11*D11</f>
        <v/>
      </c>
      <c r="F11" s="33" t="inlineStr">
        <is>
          <t>ajuste a 50K</t>
        </is>
      </c>
    </row>
    <row r="12" ht="32" customHeight="1">
      <c r="B12" s="10" t="inlineStr">
        <is>
          <t>TOTAL $ CONSTRUCCIÓN</t>
        </is>
      </c>
      <c r="C12" s="34" t="inlineStr"/>
      <c r="D12" s="34" t="inlineStr"/>
      <c r="E12" s="35">
        <f>SUM(E4:E11)</f>
        <v/>
      </c>
      <c r="F12" s="36" t="inlineStr">
        <is>
          <t>debe cuadrar ~50K</t>
        </is>
      </c>
    </row>
    <row r="14">
      <c r="B14" s="14" t="inlineStr">
        <is>
          <t>Si editas el desglose, copia el total a YELLOWSTONE!C6 para que el margen use el nuevo costo.</t>
        </is>
      </c>
    </row>
  </sheetData>
  <mergeCells count="2">
    <mergeCell ref="B2:E2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2026-09-14T12:28:54Z</dcterms:created>
  <dcterms:modified xsi:type="dcterms:W3CDTF">2026-09-14T12:28:54Z</dcterms:modified>
</cp:coreProperties>
</file>